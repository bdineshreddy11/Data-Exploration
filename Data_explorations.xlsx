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entri _practice\"/>
    </mc:Choice>
  </mc:AlternateContent>
  <xr:revisionPtr revIDLastSave="0" documentId="8_{6F02D62C-0484-4346-8A88-8F1D4EAFE79F}" xr6:coauthVersionLast="47" xr6:coauthVersionMax="47" xr10:uidLastSave="{00000000-0000-0000-0000-000000000000}"/>
  <bookViews>
    <workbookView xWindow="-108" yWindow="-108" windowWidth="23256" windowHeight="12456" xr2:uid="{57255E08-23B7-4102-92E2-AADBF3138A6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5" i="2" l="1"/>
  <c r="U6" i="2"/>
  <c r="J2" i="2"/>
  <c r="U13" i="2"/>
  <c r="U11" i="2"/>
  <c r="U8" i="2"/>
  <c r="U4" i="2"/>
  <c r="P138" i="2" a="1"/>
  <c r="P138" i="2" s="1"/>
  <c r="P101" i="2" a="1"/>
  <c r="P101" i="2" s="1"/>
  <c r="P64" i="2" a="1"/>
  <c r="P64" i="2" s="1"/>
  <c r="R58" i="2"/>
  <c r="T17" i="2" a="1"/>
  <c r="T17" i="2" s="1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  <c r="G4" i="2"/>
  <c r="J3" i="2"/>
  <c r="I3" i="2"/>
  <c r="H3" i="2"/>
  <c r="G3" i="2"/>
  <c r="I2" i="2"/>
  <c r="H2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<sst xmlns="http://schemas.openxmlformats.org/spreadsheetml/2006/main" count="170" uniqueCount="119">
  <si>
    <t>Perform the following in the dataset from the 'Dataset' sheet.</t>
  </si>
  <si>
    <t>1) Sum, Count, Average: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</si>
  <si>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</si>
  <si>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</si>
  <si>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</si>
  <si>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</si>
  <si>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</si>
  <si>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</si>
  <si>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</si>
  <si>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</si>
  <si>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</si>
  <si>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</si>
  <si>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</si>
  <si>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</si>
  <si>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</si>
  <si>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</si>
  <si>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</si>
  <si>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</si>
  <si>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</si>
  <si>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</si>
  <si>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</si>
  <si>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</si>
  <si>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</si>
  <si>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</si>
  <si>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</si>
  <si>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</si>
  <si>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</si>
  <si>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</si>
  <si>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</si>
  <si>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</si>
  <si>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</si>
  <si>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</si>
  <si>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</si>
  <si>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</si>
  <si>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</si>
  <si>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</si>
  <si>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</si>
  <si>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</si>
  <si>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</si>
  <si>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</si>
  <si>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</si>
  <si>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</si>
  <si>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</si>
  <si>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</si>
  <si>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</si>
  <si>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</si>
  <si>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</si>
  <si>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</si>
  <si>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</si>
  <si>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</si>
  <si>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</si>
  <si>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</si>
  <si>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</si>
  <si>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</si>
  <si>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</si>
  <si>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</si>
  <si>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</si>
  <si>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</si>
  <si>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</si>
  <si>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</si>
  <si>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</si>
  <si>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</si>
  <si>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</si>
  <si>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</si>
  <si>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</si>
  <si>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</si>
  <si>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</si>
  <si>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</si>
  <si>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</si>
  <si>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</si>
  <si>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</si>
  <si>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</si>
  <si>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</si>
  <si>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</si>
  <si>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</si>
  <si>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</si>
  <si>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</si>
  <si>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</si>
  <si>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</si>
  <si>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</si>
  <si>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</si>
  <si>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</si>
  <si>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</si>
  <si>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</si>
  <si>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</si>
  <si>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</si>
  <si>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</si>
  <si>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</si>
  <si>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</si>
  <si>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</si>
  <si>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</si>
  <si>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</si>
  <si>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</si>
  <si>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</si>
  <si>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</si>
  <si>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ii )   How many products are there in the dataset?</t>
  </si>
  <si>
    <t>iii)  Calculate the average price of the products.</t>
  </si>
  <si>
    <t>i)   What is the total price of all products in the dataset?</t>
  </si>
  <si>
    <t>2) Min and Max:</t>
  </si>
  <si>
    <t>ii) Find the maximum price among all products.</t>
  </si>
  <si>
    <t>i) Determine the minimum price among all products.</t>
  </si>
  <si>
    <t>3) IF Function:</t>
  </si>
  <si>
    <t>i) Using an IF function, create a new column named Price Range to categorize products with a price greater than or equal to $500 as 'High Price' and others as 'Standard Price'.</t>
  </si>
  <si>
    <t>price_range</t>
  </si>
  <si>
    <t>Answer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</si>
  <si>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</si>
  <si>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</si>
  <si>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</si>
  <si>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</si>
  <si>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</si>
  <si>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</si>
  <si>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</si>
  <si>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Day</t>
  </si>
  <si>
    <t>Country Code</t>
  </si>
  <si>
    <t>Month</t>
  </si>
  <si>
    <t>Total Price</t>
  </si>
  <si>
    <t xml:space="preserve">count of products </t>
  </si>
  <si>
    <t>Country Id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</si>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</sst>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2" fillId="0" borderId="0" xfId="0" applyFont="1"/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9" fillId="0" borderId="0" xfId="0" applyFont="1"/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8F5CC0-1C09-47F1-A548-34F1782ECEF7}" name="Table13" displayName="Table13" ref="A1:J35" totalsRowShown="0" headerRowDxfId="11" dataDxfId="10">
  <autoFilter ref="A1:J35" xr:uid="{C18F5CC0-1C09-47F1-A548-34F1782ECEF7}"/>
  <tableColumns count="10">
    <tableColumn id="1" xr3:uid="{F8B43F0F-ECB6-499A-A71E-C10331A98C5F}" name="Product ID" dataDxfId="9"/>
    <tableColumn id="2" xr3:uid="{70EEDF44-402F-4B14-A15B-AFDCE61DF655}" name="Product Name" dataDxfId="8"/>
    <tableColumn id="3" xr3:uid="{DB37F102-3EA7-4217-9F90-FA6B06279B70}" name="Brand Name" dataDxfId="7"/>
    <tableColumn id="4" xr3:uid="{2609ABDD-FD17-4071-AD1B-1258CEF63DAF}" name="Price ($)" dataDxfId="6"/>
    <tableColumn id="5" xr3:uid="{B676D3D6-9A9B-4FC6-8153-640741A59A8B}" name="Quantity" dataDxfId="5"/>
    <tableColumn id="6" xr3:uid="{81C7BAA7-6F0A-42C9-A58A-2D7F016E1EF2}" name="Category" dataDxfId="4"/>
    <tableColumn id="7" xr3:uid="{29D8758A-6622-4989-9243-249BC7A9839F}" name="price_range" dataDxfId="3">
      <calculatedColumnFormula>IF(D2&gt;=500,"High Price","Standard Price")</calculatedColumnFormula>
    </tableColumn>
    <tableColumn id="8" xr3:uid="{AE658E34-678D-4440-83B2-7F9C662FBE57}" name="Day" dataDxfId="2">
      <calculatedColumnFormula>LEFT(A2,2)</calculatedColumnFormula>
    </tableColumn>
    <tableColumn id="9" xr3:uid="{FEA1EF6E-DE7D-4884-9F48-302DFC456BEE}" name="Country Code" dataDxfId="1">
      <calculatedColumnFormula>RIGHT(A2,2)</calculatedColumnFormula>
    </tableColumn>
    <tableColumn id="10" xr3:uid="{C17402AB-9658-4642-95E5-FCE1A19514BB}" name="Month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F74A-DE0C-48A9-BA65-B84BAC4CF556}">
  <dimension ref="A1:X171"/>
  <sheetViews>
    <sheetView tabSelected="1" workbookViewId="0">
      <selection activeCell="M58" sqref="M58"/>
    </sheetView>
  </sheetViews>
  <sheetFormatPr defaultRowHeight="14.4" x14ac:dyDescent="0.3"/>
  <cols>
    <col min="1" max="1" width="12.44140625" customWidth="1"/>
    <col min="2" max="2" width="14.21875" customWidth="1"/>
    <col min="3" max="3" width="11.33203125" customWidth="1"/>
    <col min="4" max="4" width="8.33203125" customWidth="1"/>
    <col min="5" max="5" width="12.109375" customWidth="1"/>
    <col min="6" max="6" width="16.88671875" customWidth="1"/>
    <col min="7" max="7" width="16.44140625" customWidth="1"/>
    <col min="8" max="8" width="10.21875" customWidth="1"/>
    <col min="9" max="9" width="11.21875" customWidth="1"/>
    <col min="14" max="14" width="26.21875" customWidth="1"/>
    <col min="15" max="15" width="0.109375" customWidth="1"/>
    <col min="19" max="19" width="12.109375" customWidth="1"/>
    <col min="20" max="20" width="18.88671875" customWidth="1"/>
  </cols>
  <sheetData>
    <row r="1" spans="1:23" ht="21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8" t="s">
        <v>103</v>
      </c>
      <c r="H1" s="1" t="s">
        <v>112</v>
      </c>
      <c r="I1" s="1" t="s">
        <v>113</v>
      </c>
      <c r="J1" s="1" t="s">
        <v>114</v>
      </c>
      <c r="N1" s="16" t="s">
        <v>0</v>
      </c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3">
      <c r="A2" s="2" t="s">
        <v>8</v>
      </c>
      <c r="B2" s="2" t="s">
        <v>9</v>
      </c>
      <c r="C2" s="2" t="s">
        <v>10</v>
      </c>
      <c r="D2" s="3">
        <v>1000</v>
      </c>
      <c r="E2" s="3">
        <v>30</v>
      </c>
      <c r="F2" s="2" t="s">
        <v>11</v>
      </c>
      <c r="G2" s="7" t="str">
        <f>IF(D2&gt;=500,"High Price","Standard Price")</f>
        <v>High Price</v>
      </c>
      <c r="H2" s="4" t="str">
        <f t="shared" ref="H2:H35" si="0">LEFT(A2,2)</f>
        <v>28</v>
      </c>
      <c r="I2" s="4" t="str">
        <f t="shared" ref="I2:I35" si="1">RIGHT(A2,2)</f>
        <v>US</v>
      </c>
      <c r="J2" s="4" t="str">
        <f>MID(A2,4,3)</f>
        <v>JAN</v>
      </c>
    </row>
    <row r="3" spans="1:23" ht="15.6" x14ac:dyDescent="0.3">
      <c r="A3" s="4" t="s">
        <v>12</v>
      </c>
      <c r="B3" s="4" t="s">
        <v>13</v>
      </c>
      <c r="C3" s="4" t="s">
        <v>14</v>
      </c>
      <c r="D3" s="5">
        <v>80</v>
      </c>
      <c r="E3" s="5">
        <v>15</v>
      </c>
      <c r="F3" s="4" t="s">
        <v>15</v>
      </c>
      <c r="G3" s="7" t="str">
        <f t="shared" ref="G3:G35" si="2">IF(D3&gt;=500,"High Price","Standard Price")</f>
        <v>Standard Price</v>
      </c>
      <c r="H3" s="4" t="str">
        <f t="shared" si="0"/>
        <v>15</v>
      </c>
      <c r="I3" s="4" t="str">
        <f t="shared" si="1"/>
        <v>US</v>
      </c>
      <c r="J3" s="4" t="str">
        <f t="shared" ref="J3:J35" si="3">MID(A3,4,3)</f>
        <v>FEB</v>
      </c>
      <c r="N3" s="17" t="s">
        <v>1</v>
      </c>
      <c r="O3" s="18"/>
      <c r="P3" s="18"/>
      <c r="U3" t="s">
        <v>104</v>
      </c>
    </row>
    <row r="4" spans="1:23" ht="15.6" x14ac:dyDescent="0.3">
      <c r="A4" s="2" t="s">
        <v>16</v>
      </c>
      <c r="B4" s="2" t="s">
        <v>17</v>
      </c>
      <c r="C4" s="2" t="s">
        <v>18</v>
      </c>
      <c r="D4" s="3">
        <v>130</v>
      </c>
      <c r="E4" s="3">
        <v>40</v>
      </c>
      <c r="F4" s="2" t="s">
        <v>19</v>
      </c>
      <c r="G4" s="7" t="str">
        <f t="shared" si="2"/>
        <v>Standard Price</v>
      </c>
      <c r="H4" s="4" t="str">
        <f t="shared" si="0"/>
        <v>03</v>
      </c>
      <c r="I4" s="4" t="str">
        <f t="shared" si="1"/>
        <v>US</v>
      </c>
      <c r="J4" s="4" t="str">
        <f t="shared" si="3"/>
        <v>MAR</v>
      </c>
      <c r="O4" s="19" t="s">
        <v>97</v>
      </c>
      <c r="P4" s="19"/>
      <c r="Q4" s="19"/>
      <c r="R4" s="19"/>
      <c r="S4" s="19"/>
      <c r="T4" s="19"/>
      <c r="U4">
        <f>SUM(D2:D35)</f>
        <v>10100</v>
      </c>
    </row>
    <row r="5" spans="1:23" x14ac:dyDescent="0.3">
      <c r="A5" s="4" t="s">
        <v>20</v>
      </c>
      <c r="B5" s="4" t="s">
        <v>21</v>
      </c>
      <c r="C5" s="4" t="s">
        <v>22</v>
      </c>
      <c r="D5" s="5">
        <v>900</v>
      </c>
      <c r="E5" s="5">
        <v>25</v>
      </c>
      <c r="F5" s="4" t="s">
        <v>11</v>
      </c>
      <c r="G5" s="7" t="str">
        <f t="shared" si="2"/>
        <v>High Price</v>
      </c>
      <c r="H5" s="4" t="str">
        <f t="shared" si="0"/>
        <v>11</v>
      </c>
      <c r="I5" s="4" t="str">
        <f t="shared" si="1"/>
        <v>US</v>
      </c>
      <c r="J5" s="4" t="str">
        <f t="shared" si="3"/>
        <v>APR</v>
      </c>
    </row>
    <row r="6" spans="1:23" x14ac:dyDescent="0.3">
      <c r="A6" s="2" t="s">
        <v>23</v>
      </c>
      <c r="B6" s="2" t="s">
        <v>24</v>
      </c>
      <c r="C6" s="2" t="s">
        <v>25</v>
      </c>
      <c r="D6" s="3">
        <v>70</v>
      </c>
      <c r="E6" s="3">
        <v>20</v>
      </c>
      <c r="F6" s="2" t="s">
        <v>26</v>
      </c>
      <c r="G6" s="7" t="str">
        <f t="shared" si="2"/>
        <v>Standard Price</v>
      </c>
      <c r="H6" s="4" t="str">
        <f t="shared" si="0"/>
        <v>22</v>
      </c>
      <c r="I6" s="4" t="str">
        <f t="shared" si="1"/>
        <v>US</v>
      </c>
      <c r="J6" s="4" t="str">
        <f t="shared" si="3"/>
        <v>MAY</v>
      </c>
      <c r="O6" t="s">
        <v>95</v>
      </c>
      <c r="U6">
        <f>COUNTA(_xlfn.UNIQUE(B2:B35))</f>
        <v>21</v>
      </c>
    </row>
    <row r="7" spans="1:23" x14ac:dyDescent="0.3">
      <c r="A7" s="4" t="s">
        <v>27</v>
      </c>
      <c r="B7" s="4" t="s">
        <v>28</v>
      </c>
      <c r="C7" s="4" t="s">
        <v>29</v>
      </c>
      <c r="D7" s="5">
        <v>200</v>
      </c>
      <c r="E7" s="5">
        <v>45</v>
      </c>
      <c r="F7" s="4" t="s">
        <v>11</v>
      </c>
      <c r="G7" s="7" t="str">
        <f t="shared" si="2"/>
        <v>Standard Price</v>
      </c>
      <c r="H7" s="4" t="str">
        <f t="shared" si="0"/>
        <v>07</v>
      </c>
      <c r="I7" s="4" t="str">
        <f t="shared" si="1"/>
        <v>UK</v>
      </c>
      <c r="J7" s="4" t="str">
        <f t="shared" si="3"/>
        <v>JUN</v>
      </c>
    </row>
    <row r="8" spans="1:23" x14ac:dyDescent="0.3">
      <c r="A8" s="2" t="s">
        <v>30</v>
      </c>
      <c r="B8" s="2" t="s">
        <v>31</v>
      </c>
      <c r="C8" s="2" t="s">
        <v>32</v>
      </c>
      <c r="D8" s="3">
        <v>30</v>
      </c>
      <c r="E8" s="3">
        <v>5</v>
      </c>
      <c r="F8" s="2" t="s">
        <v>15</v>
      </c>
      <c r="G8" s="7" t="str">
        <f t="shared" si="2"/>
        <v>Standard Price</v>
      </c>
      <c r="H8" s="4" t="str">
        <f t="shared" si="0"/>
        <v>19</v>
      </c>
      <c r="I8" s="4" t="str">
        <f t="shared" si="1"/>
        <v>UK</v>
      </c>
      <c r="J8" s="4" t="str">
        <f t="shared" si="3"/>
        <v>JUL</v>
      </c>
      <c r="O8" t="s">
        <v>96</v>
      </c>
      <c r="U8">
        <f>AVERAGE(D2:D35)</f>
        <v>297.05882352941177</v>
      </c>
    </row>
    <row r="9" spans="1:23" x14ac:dyDescent="0.3">
      <c r="A9" s="4" t="s">
        <v>33</v>
      </c>
      <c r="B9" s="4" t="s">
        <v>34</v>
      </c>
      <c r="C9" s="4" t="s">
        <v>35</v>
      </c>
      <c r="D9" s="5">
        <v>90</v>
      </c>
      <c r="E9" s="5">
        <v>35</v>
      </c>
      <c r="F9" s="4" t="s">
        <v>19</v>
      </c>
      <c r="G9" s="7" t="str">
        <f t="shared" si="2"/>
        <v>Standard Price</v>
      </c>
      <c r="H9" s="4" t="str">
        <f t="shared" si="0"/>
        <v>23</v>
      </c>
      <c r="I9" s="4" t="str">
        <f t="shared" si="1"/>
        <v>UK</v>
      </c>
      <c r="J9" s="4" t="str">
        <f t="shared" si="3"/>
        <v>AUG</v>
      </c>
    </row>
    <row r="10" spans="1:23" ht="15.6" x14ac:dyDescent="0.3">
      <c r="A10" s="2" t="s">
        <v>36</v>
      </c>
      <c r="B10" s="2" t="s">
        <v>37</v>
      </c>
      <c r="C10" s="2" t="s">
        <v>38</v>
      </c>
      <c r="D10" s="3">
        <v>500</v>
      </c>
      <c r="E10" s="3">
        <v>50</v>
      </c>
      <c r="F10" s="2" t="s">
        <v>11</v>
      </c>
      <c r="G10" s="7" t="str">
        <f t="shared" si="2"/>
        <v>High Price</v>
      </c>
      <c r="H10" s="4" t="str">
        <f t="shared" si="0"/>
        <v>05</v>
      </c>
      <c r="I10" s="4" t="str">
        <f t="shared" si="1"/>
        <v>UK</v>
      </c>
      <c r="J10" s="4" t="str">
        <f t="shared" si="3"/>
        <v>SEP</v>
      </c>
      <c r="N10" s="12" t="s">
        <v>98</v>
      </c>
    </row>
    <row r="11" spans="1:23" x14ac:dyDescent="0.3">
      <c r="A11" s="4" t="s">
        <v>39</v>
      </c>
      <c r="B11" s="4" t="s">
        <v>40</v>
      </c>
      <c r="C11" s="4" t="s">
        <v>41</v>
      </c>
      <c r="D11" s="5">
        <v>130</v>
      </c>
      <c r="E11" s="5">
        <v>10</v>
      </c>
      <c r="F11" s="4" t="s">
        <v>26</v>
      </c>
      <c r="G11" s="7" t="str">
        <f t="shared" si="2"/>
        <v>Standard Price</v>
      </c>
      <c r="H11" s="4" t="str">
        <f t="shared" si="0"/>
        <v>14</v>
      </c>
      <c r="I11" s="4" t="str">
        <f t="shared" si="1"/>
        <v>UK</v>
      </c>
      <c r="J11" s="4" t="str">
        <f t="shared" si="3"/>
        <v>OCT</v>
      </c>
      <c r="O11" t="s">
        <v>100</v>
      </c>
      <c r="U11">
        <f>MIN(D2:D35)</f>
        <v>30</v>
      </c>
    </row>
    <row r="12" spans="1:23" x14ac:dyDescent="0.3">
      <c r="A12" s="2" t="s">
        <v>42</v>
      </c>
      <c r="B12" s="2" t="s">
        <v>9</v>
      </c>
      <c r="C12" s="2" t="s">
        <v>43</v>
      </c>
      <c r="D12" s="3">
        <v>950</v>
      </c>
      <c r="E12" s="3">
        <v>25</v>
      </c>
      <c r="F12" s="2" t="s">
        <v>11</v>
      </c>
      <c r="G12" s="7" t="str">
        <f t="shared" si="2"/>
        <v>High Price</v>
      </c>
      <c r="H12" s="4" t="str">
        <f t="shared" si="0"/>
        <v>17</v>
      </c>
      <c r="I12" s="4" t="str">
        <f t="shared" si="1"/>
        <v>IN</v>
      </c>
      <c r="J12" s="4" t="str">
        <f t="shared" si="3"/>
        <v>JUN</v>
      </c>
    </row>
    <row r="13" spans="1:23" x14ac:dyDescent="0.3">
      <c r="A13" s="4" t="s">
        <v>44</v>
      </c>
      <c r="B13" s="4" t="s">
        <v>13</v>
      </c>
      <c r="C13" s="4" t="s">
        <v>32</v>
      </c>
      <c r="D13" s="5">
        <v>90</v>
      </c>
      <c r="E13" s="5">
        <v>40</v>
      </c>
      <c r="F13" s="4" t="s">
        <v>15</v>
      </c>
      <c r="G13" s="7" t="str">
        <f t="shared" si="2"/>
        <v>Standard Price</v>
      </c>
      <c r="H13" s="4" t="str">
        <f t="shared" si="0"/>
        <v>25</v>
      </c>
      <c r="I13" s="4" t="str">
        <f t="shared" si="1"/>
        <v>AU</v>
      </c>
      <c r="J13" s="4" t="str">
        <f t="shared" si="3"/>
        <v>NOV</v>
      </c>
      <c r="O13" t="s">
        <v>99</v>
      </c>
      <c r="U13">
        <f>MAX(D2:D35)</f>
        <v>1000</v>
      </c>
    </row>
    <row r="14" spans="1:23" x14ac:dyDescent="0.3">
      <c r="A14" s="2" t="s">
        <v>45</v>
      </c>
      <c r="B14" s="2" t="s">
        <v>17</v>
      </c>
      <c r="C14" s="2" t="s">
        <v>46</v>
      </c>
      <c r="D14" s="3">
        <v>120</v>
      </c>
      <c r="E14" s="3">
        <v>35</v>
      </c>
      <c r="F14" s="2" t="s">
        <v>19</v>
      </c>
      <c r="G14" s="7" t="str">
        <f t="shared" si="2"/>
        <v>Standard Price</v>
      </c>
      <c r="H14" s="4" t="str">
        <f t="shared" si="0"/>
        <v>08</v>
      </c>
      <c r="I14" s="4" t="str">
        <f t="shared" si="1"/>
        <v>DE</v>
      </c>
      <c r="J14" s="4" t="str">
        <f t="shared" si="3"/>
        <v>DEC</v>
      </c>
    </row>
    <row r="15" spans="1:23" ht="15.6" x14ac:dyDescent="0.3">
      <c r="A15" s="4" t="s">
        <v>47</v>
      </c>
      <c r="B15" s="4" t="s">
        <v>48</v>
      </c>
      <c r="C15" s="4" t="s">
        <v>49</v>
      </c>
      <c r="D15" s="5">
        <v>150</v>
      </c>
      <c r="E15" s="5">
        <v>15</v>
      </c>
      <c r="F15" s="4" t="s">
        <v>11</v>
      </c>
      <c r="G15" s="7" t="str">
        <f t="shared" si="2"/>
        <v>Standard Price</v>
      </c>
      <c r="H15" s="4" t="str">
        <f t="shared" si="0"/>
        <v>18</v>
      </c>
      <c r="I15" s="4" t="str">
        <f t="shared" si="1"/>
        <v>CA</v>
      </c>
      <c r="J15" s="4" t="str">
        <f t="shared" si="3"/>
        <v>FEB</v>
      </c>
      <c r="N15" s="12" t="s">
        <v>101</v>
      </c>
    </row>
    <row r="16" spans="1:23" ht="15.6" x14ac:dyDescent="0.3">
      <c r="A16" s="2" t="s">
        <v>50</v>
      </c>
      <c r="B16" s="2" t="s">
        <v>28</v>
      </c>
      <c r="C16" s="2" t="s">
        <v>51</v>
      </c>
      <c r="D16" s="3">
        <v>250</v>
      </c>
      <c r="E16" s="3">
        <v>20</v>
      </c>
      <c r="F16" s="2" t="s">
        <v>11</v>
      </c>
      <c r="G16" s="7" t="str">
        <f t="shared" si="2"/>
        <v>Standard Price</v>
      </c>
      <c r="H16" s="4" t="str">
        <f t="shared" si="0"/>
        <v>16</v>
      </c>
      <c r="I16" s="4" t="str">
        <f t="shared" si="1"/>
        <v>ES</v>
      </c>
      <c r="J16" s="4" t="str">
        <f t="shared" si="3"/>
        <v>APR</v>
      </c>
      <c r="O16" s="6" t="s">
        <v>102</v>
      </c>
    </row>
    <row r="17" spans="1:24" x14ac:dyDescent="0.3">
      <c r="A17" s="4" t="s">
        <v>52</v>
      </c>
      <c r="B17" s="4" t="s">
        <v>53</v>
      </c>
      <c r="C17" s="4" t="s">
        <v>54</v>
      </c>
      <c r="D17" s="5">
        <v>50</v>
      </c>
      <c r="E17" s="5">
        <v>35</v>
      </c>
      <c r="F17" s="4" t="s">
        <v>55</v>
      </c>
      <c r="G17" s="7" t="str">
        <f t="shared" si="2"/>
        <v>Standard Price</v>
      </c>
      <c r="H17" s="4" t="str">
        <f t="shared" si="0"/>
        <v>21</v>
      </c>
      <c r="I17" s="4" t="str">
        <f t="shared" si="1"/>
        <v>CA</v>
      </c>
      <c r="J17" s="4" t="str">
        <f t="shared" si="3"/>
        <v>AUG</v>
      </c>
      <c r="S17" t="s">
        <v>118</v>
      </c>
      <c r="T17" t="str" cm="1">
        <f t="array" ref="T17:T50">IF(D2:D35&gt;=500,"High Price","Standard Price")</f>
        <v>High Price</v>
      </c>
    </row>
    <row r="18" spans="1:24" x14ac:dyDescent="0.3">
      <c r="A18" s="2" t="s">
        <v>56</v>
      </c>
      <c r="B18" s="2" t="s">
        <v>48</v>
      </c>
      <c r="C18" s="2" t="s">
        <v>57</v>
      </c>
      <c r="D18" s="3">
        <v>160</v>
      </c>
      <c r="E18" s="3">
        <v>15</v>
      </c>
      <c r="F18" s="2" t="s">
        <v>11</v>
      </c>
      <c r="G18" s="7" t="str">
        <f t="shared" si="2"/>
        <v>Standard Price</v>
      </c>
      <c r="H18" s="4" t="str">
        <f t="shared" si="0"/>
        <v>20</v>
      </c>
      <c r="I18" s="4" t="str">
        <f t="shared" si="1"/>
        <v>CN</v>
      </c>
      <c r="J18" s="4" t="str">
        <f t="shared" si="3"/>
        <v>AUG</v>
      </c>
      <c r="T18" t="str">
        <v>Standard Price</v>
      </c>
    </row>
    <row r="19" spans="1:24" ht="15.6" x14ac:dyDescent="0.3">
      <c r="A19" s="4" t="s">
        <v>58</v>
      </c>
      <c r="B19" s="4" t="s">
        <v>9</v>
      </c>
      <c r="C19" s="4" t="s">
        <v>59</v>
      </c>
      <c r="D19" s="5">
        <v>980</v>
      </c>
      <c r="E19" s="5">
        <v>10</v>
      </c>
      <c r="F19" s="4" t="s">
        <v>11</v>
      </c>
      <c r="G19" s="7" t="str">
        <f t="shared" si="2"/>
        <v>High Price</v>
      </c>
      <c r="H19" s="4" t="str">
        <f t="shared" si="0"/>
        <v>27</v>
      </c>
      <c r="I19" s="4" t="str">
        <f t="shared" si="1"/>
        <v>IT</v>
      </c>
      <c r="J19" s="4" t="str">
        <f t="shared" si="3"/>
        <v>JAN</v>
      </c>
      <c r="N19" s="9"/>
      <c r="O19" s="10"/>
      <c r="P19" s="10"/>
      <c r="Q19" s="10"/>
      <c r="R19" s="10"/>
      <c r="S19" s="10"/>
      <c r="T19" s="10" t="str">
        <v>Standard Price</v>
      </c>
      <c r="U19" s="10"/>
      <c r="V19" s="10"/>
      <c r="W19" s="10"/>
    </row>
    <row r="20" spans="1:24" ht="15.6" x14ac:dyDescent="0.3">
      <c r="A20" s="2" t="s">
        <v>60</v>
      </c>
      <c r="B20" s="2" t="s">
        <v>61</v>
      </c>
      <c r="C20" s="2" t="s">
        <v>62</v>
      </c>
      <c r="D20" s="3">
        <v>150</v>
      </c>
      <c r="E20" s="3">
        <v>15</v>
      </c>
      <c r="F20" s="2" t="s">
        <v>15</v>
      </c>
      <c r="G20" s="7" t="str">
        <f t="shared" si="2"/>
        <v>Standard Price</v>
      </c>
      <c r="H20" s="4" t="str">
        <f t="shared" si="0"/>
        <v>01</v>
      </c>
      <c r="I20" s="4" t="str">
        <f t="shared" si="1"/>
        <v>UK</v>
      </c>
      <c r="J20" s="4" t="str">
        <f t="shared" si="3"/>
        <v>MAR</v>
      </c>
      <c r="N20" s="10"/>
      <c r="O20" s="13"/>
      <c r="P20" s="10"/>
      <c r="Q20" s="10"/>
      <c r="R20" s="10"/>
      <c r="S20" s="10"/>
      <c r="T20" s="10" t="str">
        <v>High Price</v>
      </c>
      <c r="U20" s="10"/>
      <c r="V20" s="10"/>
      <c r="W20" s="10"/>
    </row>
    <row r="21" spans="1:24" ht="15.6" x14ac:dyDescent="0.3">
      <c r="A21" s="4" t="s">
        <v>63</v>
      </c>
      <c r="B21" s="4" t="s">
        <v>64</v>
      </c>
      <c r="C21" s="4" t="s">
        <v>65</v>
      </c>
      <c r="D21" s="5">
        <v>200</v>
      </c>
      <c r="E21" s="5">
        <v>10</v>
      </c>
      <c r="F21" s="4" t="s">
        <v>26</v>
      </c>
      <c r="G21" s="7" t="str">
        <f t="shared" si="2"/>
        <v>Standard Price</v>
      </c>
      <c r="H21" s="4" t="str">
        <f t="shared" si="0"/>
        <v>14</v>
      </c>
      <c r="I21" s="4" t="str">
        <f t="shared" si="1"/>
        <v>US</v>
      </c>
      <c r="J21" s="4" t="str">
        <f t="shared" si="3"/>
        <v>AUG</v>
      </c>
      <c r="N21" s="10"/>
      <c r="O21" s="11"/>
      <c r="P21" s="10"/>
      <c r="Q21" s="10"/>
      <c r="R21" s="10"/>
      <c r="S21" s="10"/>
      <c r="T21" s="10" t="str">
        <v>Standard Price</v>
      </c>
      <c r="U21" s="10"/>
      <c r="V21" s="10"/>
      <c r="W21" s="10"/>
    </row>
    <row r="22" spans="1:24" x14ac:dyDescent="0.3">
      <c r="A22" s="2" t="s">
        <v>66</v>
      </c>
      <c r="B22" s="2" t="s">
        <v>67</v>
      </c>
      <c r="C22" s="2" t="s">
        <v>68</v>
      </c>
      <c r="D22" s="3">
        <v>700</v>
      </c>
      <c r="E22" s="3">
        <v>50</v>
      </c>
      <c r="F22" s="2" t="s">
        <v>11</v>
      </c>
      <c r="G22" s="7" t="str">
        <f t="shared" si="2"/>
        <v>High Price</v>
      </c>
      <c r="H22" s="4" t="str">
        <f t="shared" si="0"/>
        <v>14</v>
      </c>
      <c r="I22" s="4" t="str">
        <f t="shared" si="1"/>
        <v>RU</v>
      </c>
      <c r="J22" s="4" t="str">
        <f t="shared" si="3"/>
        <v>MAY</v>
      </c>
      <c r="T22" t="str">
        <v>Standard Price</v>
      </c>
    </row>
    <row r="23" spans="1:24" x14ac:dyDescent="0.3">
      <c r="A23" s="4" t="s">
        <v>69</v>
      </c>
      <c r="B23" s="4" t="s">
        <v>70</v>
      </c>
      <c r="C23" s="4" t="s">
        <v>71</v>
      </c>
      <c r="D23" s="5">
        <v>80</v>
      </c>
      <c r="E23" s="5">
        <v>20</v>
      </c>
      <c r="F23" s="4" t="s">
        <v>19</v>
      </c>
      <c r="G23" s="7" t="str">
        <f t="shared" si="2"/>
        <v>Standard Price</v>
      </c>
      <c r="H23" s="4" t="str">
        <f t="shared" si="0"/>
        <v>09</v>
      </c>
      <c r="I23" s="4" t="str">
        <f t="shared" si="1"/>
        <v>CA</v>
      </c>
      <c r="J23" s="4" t="str">
        <f t="shared" si="3"/>
        <v>JAN</v>
      </c>
      <c r="T23" t="str">
        <v>Standard Price</v>
      </c>
    </row>
    <row r="24" spans="1:24" x14ac:dyDescent="0.3">
      <c r="A24" s="2" t="s">
        <v>72</v>
      </c>
      <c r="B24" s="2" t="s">
        <v>73</v>
      </c>
      <c r="C24" s="2" t="s">
        <v>74</v>
      </c>
      <c r="D24" s="3">
        <v>150</v>
      </c>
      <c r="E24" s="3">
        <v>30</v>
      </c>
      <c r="F24" s="2" t="s">
        <v>11</v>
      </c>
      <c r="G24" s="7" t="str">
        <f t="shared" si="2"/>
        <v>Standard Price</v>
      </c>
      <c r="H24" s="4" t="str">
        <f t="shared" si="0"/>
        <v>19</v>
      </c>
      <c r="I24" s="4" t="str">
        <f t="shared" si="1"/>
        <v>BR</v>
      </c>
      <c r="J24" s="4" t="str">
        <f t="shared" si="3"/>
        <v>JUL</v>
      </c>
      <c r="T24" t="str">
        <v>Standard Price</v>
      </c>
    </row>
    <row r="25" spans="1:24" x14ac:dyDescent="0.3">
      <c r="A25" s="4" t="s">
        <v>52</v>
      </c>
      <c r="B25" s="4" t="s">
        <v>53</v>
      </c>
      <c r="C25" s="4" t="s">
        <v>54</v>
      </c>
      <c r="D25" s="5">
        <v>50</v>
      </c>
      <c r="E25" s="5">
        <v>35</v>
      </c>
      <c r="F25" s="4" t="s">
        <v>55</v>
      </c>
      <c r="G25" s="7" t="str">
        <f t="shared" si="2"/>
        <v>Standard Price</v>
      </c>
      <c r="H25" s="4" t="str">
        <f t="shared" si="0"/>
        <v>21</v>
      </c>
      <c r="I25" s="4" t="str">
        <f t="shared" si="1"/>
        <v>CA</v>
      </c>
      <c r="J25" s="4" t="str">
        <f t="shared" si="3"/>
        <v>AUG</v>
      </c>
      <c r="T25" t="str">
        <v>High Price</v>
      </c>
    </row>
    <row r="26" spans="1:24" x14ac:dyDescent="0.3">
      <c r="A26" s="2" t="s">
        <v>75</v>
      </c>
      <c r="B26" s="2" t="s">
        <v>21</v>
      </c>
      <c r="C26" s="2" t="s">
        <v>76</v>
      </c>
      <c r="D26" s="3">
        <v>800</v>
      </c>
      <c r="E26" s="3">
        <v>45</v>
      </c>
      <c r="F26" s="2" t="s">
        <v>11</v>
      </c>
      <c r="G26" s="7" t="str">
        <f t="shared" si="2"/>
        <v>High Price</v>
      </c>
      <c r="H26" s="4" t="str">
        <f t="shared" si="0"/>
        <v>29</v>
      </c>
      <c r="I26" s="4" t="str">
        <f t="shared" si="1"/>
        <v>CA</v>
      </c>
      <c r="J26" s="4" t="str">
        <f t="shared" si="3"/>
        <v>SEP</v>
      </c>
      <c r="T26" t="str">
        <v>Standard Price</v>
      </c>
    </row>
    <row r="27" spans="1:24" x14ac:dyDescent="0.3">
      <c r="A27" s="4" t="s">
        <v>77</v>
      </c>
      <c r="B27" s="4" t="s">
        <v>61</v>
      </c>
      <c r="C27" s="4" t="s">
        <v>78</v>
      </c>
      <c r="D27" s="5">
        <v>130</v>
      </c>
      <c r="E27" s="5">
        <v>25</v>
      </c>
      <c r="F27" s="4" t="s">
        <v>15</v>
      </c>
      <c r="G27" s="7" t="str">
        <f t="shared" si="2"/>
        <v>Standard Price</v>
      </c>
      <c r="H27" s="4" t="str">
        <f t="shared" si="0"/>
        <v>03</v>
      </c>
      <c r="I27" s="4" t="str">
        <f t="shared" si="1"/>
        <v>CA</v>
      </c>
      <c r="J27" s="4" t="str">
        <f t="shared" si="3"/>
        <v>JUN</v>
      </c>
      <c r="T27" t="str">
        <v>High Price</v>
      </c>
    </row>
    <row r="28" spans="1:24" ht="15.6" x14ac:dyDescent="0.3">
      <c r="A28" s="2" t="s">
        <v>79</v>
      </c>
      <c r="B28" s="2" t="s">
        <v>34</v>
      </c>
      <c r="C28" s="2" t="s">
        <v>80</v>
      </c>
      <c r="D28" s="3">
        <v>400</v>
      </c>
      <c r="E28" s="3">
        <v>40</v>
      </c>
      <c r="F28" s="2" t="s">
        <v>19</v>
      </c>
      <c r="G28" s="7" t="str">
        <f t="shared" si="2"/>
        <v>Standard Price</v>
      </c>
      <c r="H28" s="4" t="str">
        <f t="shared" si="0"/>
        <v>11</v>
      </c>
      <c r="I28" s="4" t="str">
        <f t="shared" si="1"/>
        <v>CA</v>
      </c>
      <c r="J28" s="4" t="str">
        <f t="shared" si="3"/>
        <v>JUL</v>
      </c>
      <c r="N28" s="14"/>
      <c r="O28" s="2"/>
      <c r="P28" s="2"/>
      <c r="Q28" s="2"/>
      <c r="R28" s="2"/>
      <c r="S28" s="2"/>
      <c r="T28" s="2" t="str">
        <v>Standard Price</v>
      </c>
      <c r="U28" s="2"/>
      <c r="V28" s="2"/>
      <c r="W28" s="2"/>
      <c r="X28" s="2"/>
    </row>
    <row r="29" spans="1:24" ht="15.6" x14ac:dyDescent="0.3">
      <c r="A29" s="4" t="s">
        <v>50</v>
      </c>
      <c r="B29" s="4" t="s">
        <v>28</v>
      </c>
      <c r="C29" s="4" t="s">
        <v>51</v>
      </c>
      <c r="D29" s="5">
        <v>230</v>
      </c>
      <c r="E29" s="5">
        <v>20</v>
      </c>
      <c r="F29" s="4" t="s">
        <v>11</v>
      </c>
      <c r="G29" s="7" t="str">
        <f t="shared" si="2"/>
        <v>Standard Price</v>
      </c>
      <c r="H29" s="4" t="str">
        <f t="shared" si="0"/>
        <v>16</v>
      </c>
      <c r="I29" s="4" t="str">
        <f t="shared" si="1"/>
        <v>ES</v>
      </c>
      <c r="J29" s="4" t="str">
        <f t="shared" si="3"/>
        <v>APR</v>
      </c>
      <c r="N29" s="2"/>
      <c r="O29" s="13"/>
      <c r="P29" s="2"/>
      <c r="Q29" s="2"/>
      <c r="R29" s="2"/>
      <c r="S29" s="2"/>
      <c r="T29" s="2" t="str">
        <v>Standard Price</v>
      </c>
      <c r="U29" s="2"/>
      <c r="V29" s="2"/>
      <c r="W29" s="2"/>
      <c r="X29" s="2"/>
    </row>
    <row r="30" spans="1:24" ht="15.6" x14ac:dyDescent="0.3">
      <c r="A30" s="2" t="s">
        <v>81</v>
      </c>
      <c r="B30" s="2" t="s">
        <v>82</v>
      </c>
      <c r="C30" s="2" t="s">
        <v>83</v>
      </c>
      <c r="D30" s="3">
        <v>60</v>
      </c>
      <c r="E30" s="3">
        <v>30</v>
      </c>
      <c r="F30" s="2" t="s">
        <v>15</v>
      </c>
      <c r="G30" s="7" t="str">
        <f t="shared" si="2"/>
        <v>Standard Price</v>
      </c>
      <c r="H30" s="4" t="str">
        <f t="shared" si="0"/>
        <v>07</v>
      </c>
      <c r="I30" s="4" t="str">
        <f t="shared" si="1"/>
        <v>CA</v>
      </c>
      <c r="J30" s="4" t="str">
        <f t="shared" si="3"/>
        <v>MAR</v>
      </c>
      <c r="N30" s="2"/>
      <c r="O30" s="13"/>
      <c r="P30" s="2"/>
      <c r="Q30" s="2"/>
      <c r="R30" s="2"/>
      <c r="S30" s="2"/>
      <c r="T30" s="2" t="str">
        <v>Standard Price</v>
      </c>
      <c r="U30" s="2"/>
      <c r="V30" s="2"/>
      <c r="W30" s="2"/>
      <c r="X30" s="2"/>
    </row>
    <row r="31" spans="1:24" ht="15.6" x14ac:dyDescent="0.3">
      <c r="A31" s="4" t="s">
        <v>84</v>
      </c>
      <c r="B31" s="4" t="s">
        <v>85</v>
      </c>
      <c r="C31" s="4" t="s">
        <v>86</v>
      </c>
      <c r="D31" s="5">
        <v>40</v>
      </c>
      <c r="E31" s="5">
        <v>10</v>
      </c>
      <c r="F31" s="4" t="s">
        <v>19</v>
      </c>
      <c r="G31" s="7" t="str">
        <f t="shared" si="2"/>
        <v>Standard Price</v>
      </c>
      <c r="H31" s="4" t="str">
        <f t="shared" si="0"/>
        <v>13</v>
      </c>
      <c r="I31" s="4" t="str">
        <f t="shared" si="1"/>
        <v>CA</v>
      </c>
      <c r="J31" s="4" t="str">
        <f t="shared" si="3"/>
        <v>APR</v>
      </c>
      <c r="N31" s="2"/>
      <c r="O31" s="13"/>
      <c r="P31" s="2"/>
      <c r="Q31" s="2"/>
      <c r="R31" s="2"/>
      <c r="S31" s="2"/>
      <c r="T31" s="2" t="str">
        <v>Standard Price</v>
      </c>
      <c r="U31" s="2"/>
      <c r="V31" s="2"/>
      <c r="W31" s="2"/>
      <c r="X31" s="2"/>
    </row>
    <row r="32" spans="1:24" x14ac:dyDescent="0.3">
      <c r="A32" s="2" t="s">
        <v>87</v>
      </c>
      <c r="B32" s="2" t="s">
        <v>73</v>
      </c>
      <c r="C32" s="2" t="s">
        <v>88</v>
      </c>
      <c r="D32" s="3">
        <v>130</v>
      </c>
      <c r="E32" s="3">
        <v>5</v>
      </c>
      <c r="F32" s="2" t="s">
        <v>11</v>
      </c>
      <c r="G32" s="7" t="str">
        <f t="shared" si="2"/>
        <v>Standard Price</v>
      </c>
      <c r="H32" s="4" t="str">
        <f t="shared" si="0"/>
        <v>24</v>
      </c>
      <c r="I32" s="4" t="str">
        <f t="shared" si="1"/>
        <v>CA</v>
      </c>
      <c r="J32" s="4" t="str">
        <f t="shared" si="3"/>
        <v>MAY</v>
      </c>
      <c r="N32" s="2"/>
      <c r="O32" s="2"/>
      <c r="P32" s="2"/>
      <c r="Q32" s="2"/>
      <c r="R32" s="2"/>
      <c r="S32" s="2"/>
      <c r="T32" s="2" t="str">
        <v>Standard Price</v>
      </c>
      <c r="U32" s="2"/>
      <c r="V32" s="2"/>
      <c r="W32" s="2"/>
      <c r="X32" s="2"/>
    </row>
    <row r="33" spans="1:20" x14ac:dyDescent="0.3">
      <c r="A33" s="4" t="s">
        <v>89</v>
      </c>
      <c r="B33" s="4" t="s">
        <v>90</v>
      </c>
      <c r="C33" s="4" t="s">
        <v>91</v>
      </c>
      <c r="D33" s="5">
        <v>50</v>
      </c>
      <c r="E33" s="5">
        <v>50</v>
      </c>
      <c r="F33" s="4" t="s">
        <v>15</v>
      </c>
      <c r="G33" s="7" t="str">
        <f t="shared" si="2"/>
        <v>Standard Price</v>
      </c>
      <c r="H33" s="4" t="str">
        <f t="shared" si="0"/>
        <v>02</v>
      </c>
      <c r="I33" s="4" t="str">
        <f t="shared" si="1"/>
        <v>CA</v>
      </c>
      <c r="J33" s="4" t="str">
        <f t="shared" si="3"/>
        <v>DEC</v>
      </c>
      <c r="P33" s="2"/>
      <c r="T33" t="str">
        <v>Standard Price</v>
      </c>
    </row>
    <row r="34" spans="1:20" x14ac:dyDescent="0.3">
      <c r="A34" s="2" t="s">
        <v>42</v>
      </c>
      <c r="B34" s="2" t="s">
        <v>9</v>
      </c>
      <c r="C34" s="2" t="s">
        <v>43</v>
      </c>
      <c r="D34" s="3">
        <v>950</v>
      </c>
      <c r="E34" s="3">
        <v>25</v>
      </c>
      <c r="F34" s="2" t="s">
        <v>11</v>
      </c>
      <c r="G34" s="7" t="str">
        <f t="shared" si="2"/>
        <v>High Price</v>
      </c>
      <c r="H34" s="4" t="str">
        <f t="shared" si="0"/>
        <v>17</v>
      </c>
      <c r="I34" s="4" t="str">
        <f t="shared" si="1"/>
        <v>IN</v>
      </c>
      <c r="J34" s="4" t="str">
        <f t="shared" si="3"/>
        <v>JUN</v>
      </c>
      <c r="P34" s="2"/>
      <c r="T34" t="str">
        <v>High Price</v>
      </c>
    </row>
    <row r="35" spans="1:20" x14ac:dyDescent="0.3">
      <c r="A35" s="4" t="s">
        <v>92</v>
      </c>
      <c r="B35" s="4" t="s">
        <v>93</v>
      </c>
      <c r="C35" s="4" t="s">
        <v>94</v>
      </c>
      <c r="D35" s="5">
        <v>100</v>
      </c>
      <c r="E35" s="5">
        <v>20</v>
      </c>
      <c r="F35" s="4" t="s">
        <v>55</v>
      </c>
      <c r="G35" s="7" t="str">
        <f t="shared" si="2"/>
        <v>Standard Price</v>
      </c>
      <c r="H35" s="4" t="str">
        <f t="shared" si="0"/>
        <v>09</v>
      </c>
      <c r="I35" s="4" t="str">
        <f t="shared" si="1"/>
        <v>FR</v>
      </c>
      <c r="J35" s="4" t="str">
        <f t="shared" si="3"/>
        <v>JUL</v>
      </c>
      <c r="P35" s="2"/>
      <c r="T35" t="str">
        <v>Standard Price</v>
      </c>
    </row>
    <row r="36" spans="1:20" x14ac:dyDescent="0.3">
      <c r="P36" s="2"/>
      <c r="T36" t="str">
        <v>Standard Price</v>
      </c>
    </row>
    <row r="37" spans="1:20" x14ac:dyDescent="0.3">
      <c r="P37" s="2"/>
      <c r="T37" t="str">
        <v>High Price</v>
      </c>
    </row>
    <row r="38" spans="1:20" x14ac:dyDescent="0.3">
      <c r="P38" s="2"/>
      <c r="T38" t="str">
        <v>Standard Price</v>
      </c>
    </row>
    <row r="39" spans="1:20" x14ac:dyDescent="0.3">
      <c r="P39" s="2"/>
      <c r="T39" t="str">
        <v>Standard Price</v>
      </c>
    </row>
    <row r="40" spans="1:20" x14ac:dyDescent="0.3">
      <c r="P40" s="2"/>
      <c r="T40" t="str">
        <v>Standard Price</v>
      </c>
    </row>
    <row r="41" spans="1:20" x14ac:dyDescent="0.3">
      <c r="P41" s="2"/>
      <c r="T41" t="str">
        <v>High Price</v>
      </c>
    </row>
    <row r="42" spans="1:20" x14ac:dyDescent="0.3">
      <c r="P42" s="2"/>
      <c r="T42" t="str">
        <v>Standard Price</v>
      </c>
    </row>
    <row r="43" spans="1:20" x14ac:dyDescent="0.3">
      <c r="P43" s="2"/>
      <c r="T43" t="str">
        <v>Standard Price</v>
      </c>
    </row>
    <row r="44" spans="1:20" x14ac:dyDescent="0.3">
      <c r="P44" s="2"/>
      <c r="T44" t="str">
        <v>Standard Price</v>
      </c>
    </row>
    <row r="45" spans="1:20" x14ac:dyDescent="0.3">
      <c r="P45" s="2"/>
      <c r="T45" t="str">
        <v>Standard Price</v>
      </c>
    </row>
    <row r="46" spans="1:20" x14ac:dyDescent="0.3">
      <c r="P46" s="2"/>
      <c r="T46" t="str">
        <v>Standard Price</v>
      </c>
    </row>
    <row r="47" spans="1:20" x14ac:dyDescent="0.3">
      <c r="P47" s="2"/>
      <c r="T47" t="str">
        <v>Standard Price</v>
      </c>
    </row>
    <row r="48" spans="1:20" x14ac:dyDescent="0.3">
      <c r="P48" s="2"/>
      <c r="T48" t="str">
        <v>Standard Price</v>
      </c>
    </row>
    <row r="49" spans="14:20" x14ac:dyDescent="0.3">
      <c r="P49" s="2"/>
      <c r="T49" t="str">
        <v>High Price</v>
      </c>
    </row>
    <row r="50" spans="14:20" x14ac:dyDescent="0.3">
      <c r="P50" s="2"/>
      <c r="T50" t="str">
        <v>Standard Price</v>
      </c>
    </row>
    <row r="51" spans="14:20" x14ac:dyDescent="0.3">
      <c r="P51" s="2"/>
    </row>
    <row r="52" spans="14:20" x14ac:dyDescent="0.3">
      <c r="N52" s="15" t="s">
        <v>105</v>
      </c>
      <c r="P52" s="2"/>
    </row>
    <row r="53" spans="14:20" x14ac:dyDescent="0.3">
      <c r="O53" t="s">
        <v>106</v>
      </c>
      <c r="P53" s="2"/>
    </row>
    <row r="54" spans="14:20" x14ac:dyDescent="0.3">
      <c r="P54" s="2"/>
    </row>
    <row r="55" spans="14:20" x14ac:dyDescent="0.3">
      <c r="P55" s="2" t="s">
        <v>115</v>
      </c>
      <c r="Q55">
        <f>SUMIF(F2:F35,"Electronics",D2:D35)</f>
        <v>8050</v>
      </c>
    </row>
    <row r="56" spans="14:20" x14ac:dyDescent="0.3">
      <c r="O56" t="s">
        <v>107</v>
      </c>
      <c r="P56" s="2"/>
    </row>
    <row r="57" spans="14:20" x14ac:dyDescent="0.3">
      <c r="P57" s="2"/>
    </row>
    <row r="58" spans="14:20" x14ac:dyDescent="0.3">
      <c r="P58" s="2" t="s">
        <v>116</v>
      </c>
      <c r="R58">
        <f>COUNTIF(D2:D35,"&lt;100")</f>
        <v>11</v>
      </c>
    </row>
    <row r="59" spans="14:20" x14ac:dyDescent="0.3">
      <c r="P59" s="2"/>
    </row>
    <row r="60" spans="14:20" x14ac:dyDescent="0.3">
      <c r="N60" s="15" t="s">
        <v>108</v>
      </c>
      <c r="P60" s="2"/>
    </row>
    <row r="61" spans="14:20" x14ac:dyDescent="0.3">
      <c r="P61" s="2"/>
    </row>
    <row r="62" spans="14:20" x14ac:dyDescent="0.3">
      <c r="O62" t="s">
        <v>109</v>
      </c>
      <c r="P62" s="2"/>
    </row>
    <row r="63" spans="14:20" x14ac:dyDescent="0.3">
      <c r="P63" s="2" t="s">
        <v>112</v>
      </c>
    </row>
    <row r="64" spans="14:20" x14ac:dyDescent="0.3">
      <c r="P64" s="2" t="str" cm="1">
        <f t="array" ref="P64:P97">LEFT(A2:A35,2)</f>
        <v>28</v>
      </c>
    </row>
    <row r="65" spans="16:16" x14ac:dyDescent="0.3">
      <c r="P65" s="2" t="str">
        <v>15</v>
      </c>
    </row>
    <row r="66" spans="16:16" x14ac:dyDescent="0.3">
      <c r="P66" t="str">
        <v>03</v>
      </c>
    </row>
    <row r="67" spans="16:16" x14ac:dyDescent="0.3">
      <c r="P67" t="str">
        <v>11</v>
      </c>
    </row>
    <row r="68" spans="16:16" x14ac:dyDescent="0.3">
      <c r="P68" t="str">
        <v>22</v>
      </c>
    </row>
    <row r="69" spans="16:16" x14ac:dyDescent="0.3">
      <c r="P69" t="str">
        <v>07</v>
      </c>
    </row>
    <row r="70" spans="16:16" x14ac:dyDescent="0.3">
      <c r="P70" t="str">
        <v>19</v>
      </c>
    </row>
    <row r="71" spans="16:16" x14ac:dyDescent="0.3">
      <c r="P71" t="str">
        <v>23</v>
      </c>
    </row>
    <row r="72" spans="16:16" x14ac:dyDescent="0.3">
      <c r="P72" t="str">
        <v>05</v>
      </c>
    </row>
    <row r="73" spans="16:16" x14ac:dyDescent="0.3">
      <c r="P73" t="str">
        <v>14</v>
      </c>
    </row>
    <row r="74" spans="16:16" x14ac:dyDescent="0.3">
      <c r="P74" t="str">
        <v>17</v>
      </c>
    </row>
    <row r="75" spans="16:16" x14ac:dyDescent="0.3">
      <c r="P75" t="str">
        <v>25</v>
      </c>
    </row>
    <row r="76" spans="16:16" x14ac:dyDescent="0.3">
      <c r="P76" t="str">
        <v>08</v>
      </c>
    </row>
    <row r="77" spans="16:16" x14ac:dyDescent="0.3">
      <c r="P77" t="str">
        <v>18</v>
      </c>
    </row>
    <row r="78" spans="16:16" x14ac:dyDescent="0.3">
      <c r="P78" t="str">
        <v>16</v>
      </c>
    </row>
    <row r="79" spans="16:16" x14ac:dyDescent="0.3">
      <c r="P79" t="str">
        <v>21</v>
      </c>
    </row>
    <row r="80" spans="16:16" x14ac:dyDescent="0.3">
      <c r="P80" t="str">
        <v>20</v>
      </c>
    </row>
    <row r="81" spans="16:16" x14ac:dyDescent="0.3">
      <c r="P81" t="str">
        <v>27</v>
      </c>
    </row>
    <row r="82" spans="16:16" x14ac:dyDescent="0.3">
      <c r="P82" t="str">
        <v>01</v>
      </c>
    </row>
    <row r="83" spans="16:16" x14ac:dyDescent="0.3">
      <c r="P83" t="str">
        <v>14</v>
      </c>
    </row>
    <row r="84" spans="16:16" x14ac:dyDescent="0.3">
      <c r="P84" t="str">
        <v>14</v>
      </c>
    </row>
    <row r="85" spans="16:16" x14ac:dyDescent="0.3">
      <c r="P85" t="str">
        <v>09</v>
      </c>
    </row>
    <row r="86" spans="16:16" x14ac:dyDescent="0.3">
      <c r="P86" t="str">
        <v>19</v>
      </c>
    </row>
    <row r="87" spans="16:16" x14ac:dyDescent="0.3">
      <c r="P87" t="str">
        <v>21</v>
      </c>
    </row>
    <row r="88" spans="16:16" x14ac:dyDescent="0.3">
      <c r="P88" t="str">
        <v>29</v>
      </c>
    </row>
    <row r="89" spans="16:16" x14ac:dyDescent="0.3">
      <c r="P89" t="str">
        <v>03</v>
      </c>
    </row>
    <row r="90" spans="16:16" x14ac:dyDescent="0.3">
      <c r="P90" t="str">
        <v>11</v>
      </c>
    </row>
    <row r="91" spans="16:16" x14ac:dyDescent="0.3">
      <c r="P91" t="str">
        <v>16</v>
      </c>
    </row>
    <row r="92" spans="16:16" x14ac:dyDescent="0.3">
      <c r="P92" t="str">
        <v>07</v>
      </c>
    </row>
    <row r="93" spans="16:16" x14ac:dyDescent="0.3">
      <c r="P93" t="str">
        <v>13</v>
      </c>
    </row>
    <row r="94" spans="16:16" x14ac:dyDescent="0.3">
      <c r="P94" t="str">
        <v>24</v>
      </c>
    </row>
    <row r="95" spans="16:16" x14ac:dyDescent="0.3">
      <c r="P95" t="str">
        <v>02</v>
      </c>
    </row>
    <row r="96" spans="16:16" x14ac:dyDescent="0.3">
      <c r="P96" t="str">
        <v>17</v>
      </c>
    </row>
    <row r="97" spans="15:16" x14ac:dyDescent="0.3">
      <c r="P97" t="str">
        <v>09</v>
      </c>
    </row>
    <row r="99" spans="15:16" x14ac:dyDescent="0.3">
      <c r="O99" t="s">
        <v>110</v>
      </c>
    </row>
    <row r="100" spans="15:16" x14ac:dyDescent="0.3">
      <c r="P100" t="s">
        <v>117</v>
      </c>
    </row>
    <row r="101" spans="15:16" x14ac:dyDescent="0.3">
      <c r="P101" t="str" cm="1">
        <f t="array" ref="P101:P134">RIGHT(A2:A35,2)</f>
        <v>US</v>
      </c>
    </row>
    <row r="102" spans="15:16" x14ac:dyDescent="0.3">
      <c r="P102" t="str">
        <v>US</v>
      </c>
    </row>
    <row r="103" spans="15:16" x14ac:dyDescent="0.3">
      <c r="P103" t="str">
        <v>US</v>
      </c>
    </row>
    <row r="104" spans="15:16" x14ac:dyDescent="0.3">
      <c r="P104" t="str">
        <v>US</v>
      </c>
    </row>
    <row r="105" spans="15:16" x14ac:dyDescent="0.3">
      <c r="P105" t="str">
        <v>US</v>
      </c>
    </row>
    <row r="106" spans="15:16" x14ac:dyDescent="0.3">
      <c r="P106" t="str">
        <v>UK</v>
      </c>
    </row>
    <row r="107" spans="15:16" x14ac:dyDescent="0.3">
      <c r="P107" t="str">
        <v>UK</v>
      </c>
    </row>
    <row r="108" spans="15:16" x14ac:dyDescent="0.3">
      <c r="P108" t="str">
        <v>UK</v>
      </c>
    </row>
    <row r="109" spans="15:16" x14ac:dyDescent="0.3">
      <c r="P109" t="str">
        <v>UK</v>
      </c>
    </row>
    <row r="110" spans="15:16" x14ac:dyDescent="0.3">
      <c r="P110" t="str">
        <v>UK</v>
      </c>
    </row>
    <row r="111" spans="15:16" x14ac:dyDescent="0.3">
      <c r="P111" t="str">
        <v>IN</v>
      </c>
    </row>
    <row r="112" spans="15:16" x14ac:dyDescent="0.3">
      <c r="P112" t="str">
        <v>AU</v>
      </c>
    </row>
    <row r="113" spans="16:16" x14ac:dyDescent="0.3">
      <c r="P113" t="str">
        <v>DE</v>
      </c>
    </row>
    <row r="114" spans="16:16" x14ac:dyDescent="0.3">
      <c r="P114" t="str">
        <v>CA</v>
      </c>
    </row>
    <row r="115" spans="16:16" x14ac:dyDescent="0.3">
      <c r="P115" t="str">
        <v>ES</v>
      </c>
    </row>
    <row r="116" spans="16:16" x14ac:dyDescent="0.3">
      <c r="P116" t="str">
        <v>CA</v>
      </c>
    </row>
    <row r="117" spans="16:16" x14ac:dyDescent="0.3">
      <c r="P117" t="str">
        <v>CN</v>
      </c>
    </row>
    <row r="118" spans="16:16" x14ac:dyDescent="0.3">
      <c r="P118" t="str">
        <v>IT</v>
      </c>
    </row>
    <row r="119" spans="16:16" x14ac:dyDescent="0.3">
      <c r="P119" t="str">
        <v>UK</v>
      </c>
    </row>
    <row r="120" spans="16:16" x14ac:dyDescent="0.3">
      <c r="P120" t="str">
        <v>US</v>
      </c>
    </row>
    <row r="121" spans="16:16" x14ac:dyDescent="0.3">
      <c r="P121" t="str">
        <v>RU</v>
      </c>
    </row>
    <row r="122" spans="16:16" x14ac:dyDescent="0.3">
      <c r="P122" t="str">
        <v>CA</v>
      </c>
    </row>
    <row r="123" spans="16:16" x14ac:dyDescent="0.3">
      <c r="P123" t="str">
        <v>BR</v>
      </c>
    </row>
    <row r="124" spans="16:16" x14ac:dyDescent="0.3">
      <c r="P124" t="str">
        <v>CA</v>
      </c>
    </row>
    <row r="125" spans="16:16" x14ac:dyDescent="0.3">
      <c r="P125" t="str">
        <v>CA</v>
      </c>
    </row>
    <row r="126" spans="16:16" x14ac:dyDescent="0.3">
      <c r="P126" t="str">
        <v>CA</v>
      </c>
    </row>
    <row r="127" spans="16:16" x14ac:dyDescent="0.3">
      <c r="P127" t="str">
        <v>CA</v>
      </c>
    </row>
    <row r="128" spans="16:16" x14ac:dyDescent="0.3">
      <c r="P128" t="str">
        <v>ES</v>
      </c>
    </row>
    <row r="129" spans="15:16" x14ac:dyDescent="0.3">
      <c r="P129" t="str">
        <v>CA</v>
      </c>
    </row>
    <row r="130" spans="15:16" x14ac:dyDescent="0.3">
      <c r="P130" t="str">
        <v>CA</v>
      </c>
    </row>
    <row r="131" spans="15:16" x14ac:dyDescent="0.3">
      <c r="P131" t="str">
        <v>CA</v>
      </c>
    </row>
    <row r="132" spans="15:16" x14ac:dyDescent="0.3">
      <c r="P132" t="str">
        <v>CA</v>
      </c>
    </row>
    <row r="133" spans="15:16" x14ac:dyDescent="0.3">
      <c r="P133" t="str">
        <v>IN</v>
      </c>
    </row>
    <row r="134" spans="15:16" x14ac:dyDescent="0.3">
      <c r="P134" t="str">
        <v>FR</v>
      </c>
    </row>
    <row r="136" spans="15:16" x14ac:dyDescent="0.3">
      <c r="O136" t="s">
        <v>111</v>
      </c>
    </row>
    <row r="137" spans="15:16" x14ac:dyDescent="0.3">
      <c r="P137" t="s">
        <v>114</v>
      </c>
    </row>
    <row r="138" spans="15:16" x14ac:dyDescent="0.3">
      <c r="P138" t="str" cm="1">
        <f t="array" ref="P138:P171">MID(A2:A35,4,3)</f>
        <v>JAN</v>
      </c>
    </row>
    <row r="139" spans="15:16" x14ac:dyDescent="0.3">
      <c r="P139" t="str">
        <v>FEB</v>
      </c>
    </row>
    <row r="140" spans="15:16" x14ac:dyDescent="0.3">
      <c r="P140" t="str">
        <v>MAR</v>
      </c>
    </row>
    <row r="141" spans="15:16" x14ac:dyDescent="0.3">
      <c r="P141" t="str">
        <v>APR</v>
      </c>
    </row>
    <row r="142" spans="15:16" x14ac:dyDescent="0.3">
      <c r="P142" t="str">
        <v>MAY</v>
      </c>
    </row>
    <row r="143" spans="15:16" x14ac:dyDescent="0.3">
      <c r="P143" t="str">
        <v>JUN</v>
      </c>
    </row>
    <row r="144" spans="15:16" x14ac:dyDescent="0.3">
      <c r="P144" t="str">
        <v>JUL</v>
      </c>
    </row>
    <row r="145" spans="16:16" x14ac:dyDescent="0.3">
      <c r="P145" t="str">
        <v>AUG</v>
      </c>
    </row>
    <row r="146" spans="16:16" x14ac:dyDescent="0.3">
      <c r="P146" t="str">
        <v>SEP</v>
      </c>
    </row>
    <row r="147" spans="16:16" x14ac:dyDescent="0.3">
      <c r="P147" t="str">
        <v>OCT</v>
      </c>
    </row>
    <row r="148" spans="16:16" x14ac:dyDescent="0.3">
      <c r="P148" t="str">
        <v>JUN</v>
      </c>
    </row>
    <row r="149" spans="16:16" x14ac:dyDescent="0.3">
      <c r="P149" t="str">
        <v>NOV</v>
      </c>
    </row>
    <row r="150" spans="16:16" x14ac:dyDescent="0.3">
      <c r="P150" t="str">
        <v>DEC</v>
      </c>
    </row>
    <row r="151" spans="16:16" x14ac:dyDescent="0.3">
      <c r="P151" t="str">
        <v>FEB</v>
      </c>
    </row>
    <row r="152" spans="16:16" x14ac:dyDescent="0.3">
      <c r="P152" t="str">
        <v>APR</v>
      </c>
    </row>
    <row r="153" spans="16:16" x14ac:dyDescent="0.3">
      <c r="P153" t="str">
        <v>AUG</v>
      </c>
    </row>
    <row r="154" spans="16:16" x14ac:dyDescent="0.3">
      <c r="P154" t="str">
        <v>AUG</v>
      </c>
    </row>
    <row r="155" spans="16:16" x14ac:dyDescent="0.3">
      <c r="P155" t="str">
        <v>JAN</v>
      </c>
    </row>
    <row r="156" spans="16:16" x14ac:dyDescent="0.3">
      <c r="P156" t="str">
        <v>MAR</v>
      </c>
    </row>
    <row r="157" spans="16:16" x14ac:dyDescent="0.3">
      <c r="P157" t="str">
        <v>AUG</v>
      </c>
    </row>
    <row r="158" spans="16:16" x14ac:dyDescent="0.3">
      <c r="P158" t="str">
        <v>MAY</v>
      </c>
    </row>
    <row r="159" spans="16:16" x14ac:dyDescent="0.3">
      <c r="P159" t="str">
        <v>JAN</v>
      </c>
    </row>
    <row r="160" spans="16:16" x14ac:dyDescent="0.3">
      <c r="P160" t="str">
        <v>JUL</v>
      </c>
    </row>
    <row r="161" spans="16:16" x14ac:dyDescent="0.3">
      <c r="P161" t="str">
        <v>AUG</v>
      </c>
    </row>
    <row r="162" spans="16:16" x14ac:dyDescent="0.3">
      <c r="P162" t="str">
        <v>SEP</v>
      </c>
    </row>
    <row r="163" spans="16:16" x14ac:dyDescent="0.3">
      <c r="P163" t="str">
        <v>JUN</v>
      </c>
    </row>
    <row r="164" spans="16:16" x14ac:dyDescent="0.3">
      <c r="P164" t="str">
        <v>JUL</v>
      </c>
    </row>
    <row r="165" spans="16:16" x14ac:dyDescent="0.3">
      <c r="P165" t="str">
        <v>APR</v>
      </c>
    </row>
    <row r="166" spans="16:16" x14ac:dyDescent="0.3">
      <c r="P166" t="str">
        <v>MAR</v>
      </c>
    </row>
    <row r="167" spans="16:16" x14ac:dyDescent="0.3">
      <c r="P167" t="str">
        <v>APR</v>
      </c>
    </row>
    <row r="168" spans="16:16" x14ac:dyDescent="0.3">
      <c r="P168" t="str">
        <v>MAY</v>
      </c>
    </row>
    <row r="169" spans="16:16" x14ac:dyDescent="0.3">
      <c r="P169" t="str">
        <v>DEC</v>
      </c>
    </row>
    <row r="170" spans="16:16" x14ac:dyDescent="0.3">
      <c r="P170" t="str">
        <v>JUN</v>
      </c>
    </row>
    <row r="171" spans="16:16" x14ac:dyDescent="0.3">
      <c r="P171" t="str">
        <v>JUL</v>
      </c>
    </row>
  </sheetData>
  <mergeCells count="3">
    <mergeCell ref="N1:W1"/>
    <mergeCell ref="N3:P3"/>
    <mergeCell ref="O4:T4"/>
  </mergeCells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 REDDY DINESH REDDY</dc:creator>
  <cp:lastModifiedBy>BEEM REDDY DINESH REDDY</cp:lastModifiedBy>
  <cp:lastPrinted>2026-06-25T11:17:34Z</cp:lastPrinted>
  <dcterms:created xsi:type="dcterms:W3CDTF">2026-06-23T15:26:44Z</dcterms:created>
  <dcterms:modified xsi:type="dcterms:W3CDTF">2026-06-25T16:11:17Z</dcterms:modified>
</cp:coreProperties>
</file>